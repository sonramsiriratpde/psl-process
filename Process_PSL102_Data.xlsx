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eciseth.sharepoint.com/sites/DigitalTeamPCC/Shared Documents/Digital Process PCC/PSL/102 Micropropagation/"/>
    </mc:Choice>
  </mc:AlternateContent>
  <xr:revisionPtr revIDLastSave="234" documentId="11_7FA765A943F2FD8409823776C2B9CE762AC24938" xr6:coauthVersionLast="47" xr6:coauthVersionMax="47" xr10:uidLastSave="{C72D7C06-A986-4DE8-9096-B42F7AE4864C}"/>
  <bookViews>
    <workbookView xWindow="-108" yWindow="-108" windowWidth="23256" windowHeight="13896" xr2:uid="{00000000-000D-0000-FFFF-FFFF00000000}"/>
  </bookViews>
  <sheets>
    <sheet name="Process_ข้อตา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5" i="2" l="1"/>
  <c r="T26" i="2" s="1"/>
  <c r="T27" i="2" s="1"/>
  <c r="O18" i="2"/>
  <c r="O19" i="2" s="1"/>
  <c r="P17" i="2"/>
  <c r="P16" i="2"/>
  <c r="P11" i="2"/>
  <c r="O11" i="2"/>
  <c r="O22" i="2" l="1"/>
  <c r="O21" i="2"/>
  <c r="P21" i="2" s="1"/>
  <c r="P19" i="2"/>
  <c r="P18" i="2"/>
  <c r="O29" i="2" l="1"/>
  <c r="P29" i="2" s="1"/>
  <c r="O36" i="2" s="1"/>
  <c r="P36" i="2" s="1"/>
  <c r="P22" i="2"/>
</calcChain>
</file>

<file path=xl/sharedStrings.xml><?xml version="1.0" encoding="utf-8"?>
<sst xmlns="http://schemas.openxmlformats.org/spreadsheetml/2006/main" count="196" uniqueCount="110">
  <si>
    <t>KPI All Stage</t>
  </si>
  <si>
    <t>Contamination ≤ 5%</t>
  </si>
  <si>
    <t>Multiplication Rate ≥ 4×/cycle</t>
  </si>
  <si>
    <t>Rooting ≥ 85%</t>
  </si>
  <si>
    <t>Acclimatization Survival ≥ 90%</t>
  </si>
  <si>
    <t>Hardening Survival ≥ 95%</t>
  </si>
  <si>
    <t>True-to-type ≥ 99%</t>
  </si>
  <si>
    <t>R&amp;D</t>
  </si>
  <si>
    <t>Stage No.</t>
  </si>
  <si>
    <t>Stage Name</t>
  </si>
  <si>
    <t>สูตรอาหาร/สูตรดิน</t>
  </si>
  <si>
    <t>Process</t>
  </si>
  <si>
    <t xml:space="preserve">อุปกรณ์ </t>
  </si>
  <si>
    <t>ปริมาณ</t>
  </si>
  <si>
    <t>หน่วย</t>
  </si>
  <si>
    <t>Note</t>
  </si>
  <si>
    <t>ตัดเนื้อเยื่อใส่ขวด</t>
  </si>
  <si>
    <t>M2</t>
  </si>
  <si>
    <t>ใส่ชิ้นส่วนไผ่ (เมล็ด/กิ่งไผ่) ลงในอาหารวุ้น</t>
  </si>
  <si>
    <t>ขวดแก้ว 4 ออน</t>
  </si>
  <si>
    <t xml:space="preserve"> ชิ้นส่วน (Explant)</t>
  </si>
  <si>
    <t>เปลี่ยนอาหารครั้งที่ 1 45 วัน นับจากวันที่ 0 เพื่อเร่งแตกยอดเร่งยอดพยุงต้นแข็งแรง</t>
  </si>
  <si>
    <t>เปลี่ยนขวดใหม่ - อาจมีสูตรอาหารที่แตกต่างกันตามความสมบรูณ์ของยอด</t>
  </si>
  <si>
    <t>ขวดแก้ว 8 ออน</t>
  </si>
  <si>
    <t>เปลี่ยนอาหารครั้งที่ 2 30 วัน จากวันเปลี่ยนอาหารครั้งที่ 1 เพื่อเร่งยอดพยุงต้นแข็งแรง</t>
  </si>
  <si>
    <t>เปลี่ยนขวดใหม่ - ใช้สูตรเดียวกับอาหารที่เปลี่ยนครั้งที่ 1 เปลี่ยนเพราะสารอาหารหมด</t>
  </si>
  <si>
    <t>เปลี่ยนอาหารครั้งที่ 3 30 วัน จากวันเปลี่ยนอาหารครั้งที่ 2 เพื่อเร่งยอดเพื่อเพิ่มจำนวน</t>
  </si>
  <si>
    <t>M28</t>
  </si>
  <si>
    <t>เปลี่ยนขวดใหม่ - ดูสูตรอาหารที่เลือกให้ตามความเจริญเติบโต</t>
  </si>
  <si>
    <t>กลุ่มเนื้อเยื่อ</t>
  </si>
  <si>
    <t>30 วันนับจาก Step 4 นำกลุ่มเนื้อเยื่อตามข้อ 4 มาเพื่มจำนวน</t>
  </si>
  <si>
    <t xml:space="preserve">เปลี่ยนขวดใหม่-ใช้อาหารสูตรตามข้อ 4 </t>
  </si>
  <si>
    <t>21 วัน นับจากStep 5 Sub culture เพิ่มจำนวน</t>
  </si>
  <si>
    <t>ขวดแก้ว 12 ออน</t>
  </si>
  <si>
    <t>21 วัน นับจากStep 6 Sub culture เพิ่มจำนวน</t>
  </si>
  <si>
    <t>21 วัน นับจากStep 7 Sub culture เพิ่มจำนวน</t>
  </si>
  <si>
    <t>21 วัน นับจากStep 8 Sub culture เพิ่มจำนวน</t>
  </si>
  <si>
    <t>1 กลุ่มกล้ามีประมาณ 15 ยอด</t>
  </si>
  <si>
    <t>10A</t>
  </si>
  <si>
    <r>
      <t>21 วัน นับจาก Step 9 sub culture เพื่อคัดเป็น</t>
    </r>
    <r>
      <rPr>
        <sz val="11"/>
        <color rgb="FFFF0000"/>
        <rFont val="TH Sarabun New"/>
        <family val="2"/>
      </rPr>
      <t>แม่พันธ์ต่อ</t>
    </r>
  </si>
  <si>
    <t>เปลี่ยนขวดใหม่-ใช้อาหารสูตรตามข้อ 4</t>
  </si>
  <si>
    <t>กลับไปวันที่ Step 5 (Sub1) วนสูงสุดประมาณ 3ปี</t>
  </si>
  <si>
    <t>10B</t>
  </si>
  <si>
    <t xml:space="preserve">21 วัน นับจาก Step 9 - Sub culture เพื่อเร่งราก </t>
  </si>
  <si>
    <t>M31</t>
  </si>
  <si>
    <t>เปลี่ยนขวดใหม่-ใช้อาหารสูตรใหม่(เร่งราก)</t>
  </si>
  <si>
    <t>กล้า</t>
  </si>
  <si>
    <t xml:space="preserve">1 ขวด มี 4 กลุ่ม /1กลุ่ม มี ประมาณ 15 ยอด /1กล้า ต้องมี 3 ยอด / </t>
  </si>
  <si>
    <t>45 วัน นับจาก Step 10B นำมาปรับอุณหภูมิ เตรียม Hardening</t>
  </si>
  <si>
    <t>อยู่ในขวดเดิม-นำออกจากห้องให้มาอยู่ในอุณหภูมิปกติ เพื่อเตรียมนำไปทำ Hardening ต่อ (อยู่ได้เกิน 2 เดือน หลังจากเอาออกมา ถ้าสารอาหารหมดก็จะตายได้)</t>
  </si>
  <si>
    <t>1 วัน นับจาก Step 11 ล้างราก</t>
  </si>
  <si>
    <t>ล้างวุ้นออกจากราก ล้าง 3 น้ำ</t>
  </si>
  <si>
    <t>ล้าง 3 น้ำ  1 ล้างวุ้นเศษเน่าเสียออก 2 และ 3 ล้างเพื่อทำความสะอาด</t>
  </si>
  <si>
    <t xml:space="preserve">1)  ล้างน้ำที่ 1 เอาวุ้นเศษเน่าเสียออก </t>
  </si>
  <si>
    <t>แช่น้ำกันเชื้อรา</t>
  </si>
  <si>
    <t>2) คัดแยกยอดเสีย เน่า ออก</t>
  </si>
  <si>
    <t>4) แช่น้ำยากันเชื้อรา 5 นาที</t>
  </si>
  <si>
    <t xml:space="preserve">1วัน นับจากล้างราก และเข้า Hardening </t>
  </si>
  <si>
    <r>
      <t>ตะกร้าขนาด</t>
    </r>
    <r>
      <rPr>
        <sz val="11"/>
        <color rgb="FFFF0000"/>
        <rFont val="TH Sarabun New"/>
        <family val="2"/>
      </rPr>
      <t xml:space="preserve"> xxxx</t>
    </r>
  </si>
  <si>
    <t>45 วัน นับจาก Hardening ส่งเข้าแปลงอนุบาล</t>
  </si>
  <si>
    <t>ใช้ถุงดำขนาด 3 นิ้ว</t>
  </si>
  <si>
    <t xml:space="preserve">75 วัน นับจากส่งเข้าแปลงอนุบาล - ออกปลูกกลางแจ้ง </t>
  </si>
  <si>
    <t>ใช้ถุงดำขนาด 7 นิ้ว</t>
  </si>
  <si>
    <t>Doc.</t>
  </si>
  <si>
    <t>Status</t>
  </si>
  <si>
    <t>กลุ่ม</t>
  </si>
  <si>
    <t>ยอด</t>
  </si>
  <si>
    <r>
      <t>3) ล้างเพื่อทำความสะอาด 2 น้ำ - ใช้น้ำที่</t>
    </r>
    <r>
      <rPr>
        <sz val="11"/>
        <color rgb="FFFF0000"/>
        <rFont val="TH Sarabun New"/>
        <family val="2"/>
      </rPr>
      <t>ไม่มีคลอรีน</t>
    </r>
    <r>
      <rPr>
        <sz val="11"/>
        <color theme="1"/>
        <rFont val="TH Sarabun New"/>
        <family val="2"/>
      </rPr>
      <t>ล้าง เพราะจะไปกัดเนื้อเยื่อรากที่ยังอ่อนอยู่</t>
    </r>
  </si>
  <si>
    <t>จำนวนวันเริ่ม</t>
  </si>
  <si>
    <t>จำนวนวันของ Process</t>
  </si>
  <si>
    <t>จำนวนขวด</t>
  </si>
  <si>
    <t>1 Shalf มี 5 ชั้น
4 oz 240 ขวด/ชั้น = 1200 ชวด/Shalf
8 oz 160 ขวด/ชั้น = 800 ชวด/Shalf
12 oz 90 ขวด/ชั้น = 450 ชวด/Shalf</t>
  </si>
  <si>
    <t>4 oz</t>
  </si>
  <si>
    <t>8 oz</t>
  </si>
  <si>
    <t>12 oz</t>
  </si>
  <si>
    <t>Process Type</t>
  </si>
  <si>
    <t>Process Business 102</t>
  </si>
  <si>
    <t>R&amp;D / Production</t>
  </si>
  <si>
    <t>1 ขวด มี 4 กลุ่ม | 1กลุ่ม มี ประมาณ 15 ยอด | 1กล้า มี 3 ยอด | 1 ขวด มี 10 กล้า</t>
  </si>
  <si>
    <t>R&amp;D แบ่ง ให้ Production ปริมาณ 60% ของจำนวนขวดที่ได้ใน Stage ที่ 9 จากนั้น Production จะนำไปแบ่งครึ่งเป็น 10A, 10B และทำตามขั้นตอนต่อไป</t>
  </si>
  <si>
    <t>Production</t>
  </si>
  <si>
    <t>R&amp;D ทำถึงแค่ Stage นี้ กล้าไผ่ที่ได้จะส่งมอบต่อ Production ทั้งหมด</t>
  </si>
  <si>
    <t>- เตรียมดิน และนำกล้าที่ล้างรากแล้วลงปลูก
- นำเข้าพื้นที่เก็บดูแล</t>
  </si>
  <si>
    <t xml:space="preserve">ย้ายมาลงถุงขนาด 3 นิ้ว  </t>
  </si>
  <si>
    <t>แกลบดำ+ทรายหยาบ</t>
  </si>
  <si>
    <t>แกลบดำ+ทรายหยาบ หรือ ทราย+พีทมอส</t>
  </si>
  <si>
    <t xml:space="preserve">เปลี่ยนถุง 7 นิ้ว </t>
  </si>
  <si>
    <t>ใช้ดินสูตร 3</t>
  </si>
  <si>
    <t>ขนาดอุปกรณ์</t>
  </si>
  <si>
    <t>ประเภทอุปกรณ์</t>
  </si>
  <si>
    <t>ขวด</t>
  </si>
  <si>
    <t>ถุงปลูก</t>
  </si>
  <si>
    <t>3 นิ้ว</t>
  </si>
  <si>
    <t>7 นิ้ว</t>
  </si>
  <si>
    <t>จำนวนกล้า</t>
  </si>
  <si>
    <t>ได้ 2 ท่อน/ขวด</t>
  </si>
  <si>
    <t>ได้ 1 ท่อน/ขวด</t>
  </si>
  <si>
    <t>ได้ 1 กลุ่ม/ขวด</t>
  </si>
  <si>
    <t>ได้ 2 กลุ่ม/ขวด</t>
  </si>
  <si>
    <t>ได้ 4 กลุ่ม/ขวด</t>
  </si>
  <si>
    <t>ได้ 10 กล้า/ขวด</t>
  </si>
  <si>
    <t>100 กล้า/ตะกร้า</t>
  </si>
  <si>
    <t>ตะกร้า</t>
  </si>
  <si>
    <t>พื้นที่วาง</t>
  </si>
  <si>
    <t>วางแถวละ 10ขวด 22 แถว ได้ 220 ขวด/ชั้น</t>
  </si>
  <si>
    <t>1 กล้า/ถุง</t>
  </si>
  <si>
    <t>วางแถวละ 8ขวด 20 แถว ได้ 160 ขวด/ชั้น</t>
  </si>
  <si>
    <t>วางแถวละ 6ขวด 15 แถว ได้ 90 ขวด/ชั้น</t>
  </si>
  <si>
    <t>120 วัน นับจากอยู่กลางแจ้ง ส่งมอบเพื่อปลูก</t>
  </si>
  <si>
    <t>เลี้ยงต้นกล้าจนสูงถึง 100 cm จึงส่งออกได้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</si>
</sst>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TH Sarabun New"/>
      <family val="2"/>
    </font>
    <font>
      <b/>
      <sz val="11"/>
      <name val="TH Sarabun New"/>
      <family val="2"/>
    </font>
    <font>
      <sz val="11"/>
      <color rgb="FFFF0000"/>
      <name val="TH Sarabun New"/>
      <family val="2"/>
    </font>
    <font>
      <sz val="11"/>
      <color theme="1"/>
      <name val="Calibri"/>
      <family val="2"/>
      <charset val="1"/>
    </font>
    <font>
      <sz val="11"/>
      <color theme="1"/>
      <name val="TH Sarabun New"/>
      <family val="2"/>
    </font>
    <font>
      <b/>
      <sz val="14"/>
      <color theme="1"/>
      <name val="TH Sarabun New"/>
      <family val="2"/>
    </font>
    <font>
      <b/>
      <sz val="11"/>
      <color theme="1"/>
      <name val="TH Sarabun Ne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5" fillId="0" borderId="0" xfId="1" applyFont="1" applyAlignment="1">
      <alignment horizontal="center"/>
    </xf>
    <xf numFmtId="0" fontId="5" fillId="0" borderId="0" xfId="1" applyFont="1" applyAlignment="1">
      <alignment wrapText="1"/>
    </xf>
    <xf numFmtId="0" fontId="5" fillId="0" borderId="0" xfId="1" applyFont="1"/>
    <xf numFmtId="0" fontId="5" fillId="0" borderId="0" xfId="1" applyFont="1" applyAlignment="1">
      <alignment horizontal="left" wrapText="1"/>
    </xf>
    <xf numFmtId="0" fontId="5" fillId="2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vertical="top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/>
    </xf>
    <xf numFmtId="0" fontId="7" fillId="0" borderId="0" xfId="1" applyFont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 wrapText="1"/>
    </xf>
    <xf numFmtId="0" fontId="5" fillId="0" borderId="0" xfId="1" applyFont="1" applyBorder="1"/>
    <xf numFmtId="0" fontId="6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5" fillId="0" borderId="0" xfId="1" applyFont="1" applyAlignment="1">
      <alignment vertical="top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5" fillId="3" borderId="0" xfId="1" applyFont="1" applyFill="1" applyAlignment="1">
      <alignment horizontal="center" vertical="top"/>
    </xf>
    <xf numFmtId="0" fontId="1" fillId="3" borderId="0" xfId="1" applyFont="1" applyFill="1" applyAlignment="1">
      <alignment horizontal="center" vertical="top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horizontal="center" vertical="top"/>
    </xf>
    <xf numFmtId="0" fontId="2" fillId="2" borderId="3" xfId="1" applyFont="1" applyFill="1" applyBorder="1" applyAlignment="1">
      <alignment horizontal="center" vertical="center"/>
    </xf>
    <xf numFmtId="0" fontId="5" fillId="0" borderId="0" xfId="1" quotePrefix="1" applyFont="1" applyAlignment="1">
      <alignment vertical="top" wrapText="1"/>
    </xf>
  </cellXfs>
  <cellStyles count="2">
    <cellStyle name="Normal" xfId="0" builtinId="0"/>
    <cellStyle name="Normal 2" xfId="1" xr:uid="{984A028E-7F24-4918-832E-DCA457703FB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F6FA-255F-4EF5-B92E-F5C17A587068}">
  <dimension ref="A1:T40"/>
  <sheetViews>
    <sheetView tabSelected="1" zoomScaleNormal="100" workbookViewId="0">
      <pane xSplit="6" ySplit="10" topLeftCell="J11" activePane="bottomRight" state="frozen"/>
      <selection pane="topRight" activeCell="G1" sqref="G1"/>
      <selection pane="bottomLeft" activeCell="A11" sqref="A11"/>
      <selection pane="bottomRight" activeCell="K33" sqref="K33"/>
    </sheetView>
  </sheetViews>
  <sheetFormatPr defaultColWidth="8.88671875" defaultRowHeight="16.8" outlineLevelRow="1" x14ac:dyDescent="0.5"/>
  <cols>
    <col min="1" max="1" width="7.109375" style="1" customWidth="1"/>
    <col min="2" max="2" width="9.44140625" style="1" customWidth="1"/>
    <col min="3" max="3" width="32.44140625" style="1" customWidth="1"/>
    <col min="4" max="4" width="12.5546875" style="2" customWidth="1"/>
    <col min="5" max="5" width="17.21875" style="1" customWidth="1"/>
    <col min="6" max="6" width="30.21875" style="1" customWidth="1"/>
    <col min="7" max="8" width="9.88671875" style="3" hidden="1" customWidth="1"/>
    <col min="9" max="9" width="8" style="3" hidden="1" customWidth="1"/>
    <col min="10" max="10" width="11.33203125" style="3" customWidth="1"/>
    <col min="11" max="11" width="9.6640625" style="3" customWidth="1"/>
    <col min="12" max="12" width="26" style="2" customWidth="1"/>
    <col min="13" max="14" width="12.88671875" style="3" customWidth="1"/>
    <col min="15" max="17" width="11.77734375" style="1" customWidth="1"/>
    <col min="18" max="18" width="29.21875" style="1" customWidth="1"/>
    <col min="19" max="16384" width="8.88671875" style="3"/>
  </cols>
  <sheetData>
    <row r="1" spans="1:18" x14ac:dyDescent="0.5">
      <c r="A1" s="8" t="s">
        <v>0</v>
      </c>
      <c r="B1" s="11" t="s">
        <v>1</v>
      </c>
      <c r="C1" s="11"/>
      <c r="D1" s="11"/>
    </row>
    <row r="2" spans="1:18" x14ac:dyDescent="0.5">
      <c r="A2" s="9"/>
      <c r="B2" s="11" t="s">
        <v>2</v>
      </c>
      <c r="C2" s="11"/>
      <c r="D2" s="11"/>
    </row>
    <row r="3" spans="1:18" x14ac:dyDescent="0.5">
      <c r="A3" s="9"/>
      <c r="B3" s="11" t="s">
        <v>3</v>
      </c>
      <c r="C3" s="11"/>
      <c r="D3" s="11"/>
    </row>
    <row r="4" spans="1:18" x14ac:dyDescent="0.5">
      <c r="A4" s="9"/>
      <c r="B4" s="11" t="s">
        <v>4</v>
      </c>
      <c r="C4" s="11"/>
      <c r="D4" s="11"/>
    </row>
    <row r="5" spans="1:18" x14ac:dyDescent="0.5">
      <c r="A5" s="9"/>
      <c r="B5" s="11" t="s">
        <v>5</v>
      </c>
      <c r="C5" s="11"/>
      <c r="D5" s="11"/>
    </row>
    <row r="6" spans="1:18" x14ac:dyDescent="0.5">
      <c r="A6" s="10"/>
      <c r="B6" s="11" t="s">
        <v>6</v>
      </c>
      <c r="C6" s="11"/>
      <c r="D6" s="11"/>
    </row>
    <row r="7" spans="1:18" x14ac:dyDescent="0.5">
      <c r="A7" s="5"/>
      <c r="B7" s="6"/>
      <c r="C7" s="6"/>
      <c r="D7" s="6"/>
    </row>
    <row r="8" spans="1:18" s="17" customFormat="1" ht="18.600000000000001" customHeight="1" x14ac:dyDescent="0.5">
      <c r="A8" s="18" t="s">
        <v>76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17" customFormat="1" ht="16.8" customHeight="1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s="12" customFormat="1" ht="33.6" x14ac:dyDescent="0.3">
      <c r="A10" s="13" t="s">
        <v>8</v>
      </c>
      <c r="B10" s="13" t="s">
        <v>68</v>
      </c>
      <c r="C10" s="14" t="s">
        <v>9</v>
      </c>
      <c r="D10" s="14" t="s">
        <v>69</v>
      </c>
      <c r="E10" s="28" t="s">
        <v>10</v>
      </c>
      <c r="F10" s="14" t="s">
        <v>11</v>
      </c>
      <c r="G10" s="13" t="s">
        <v>63</v>
      </c>
      <c r="H10" s="13" t="s">
        <v>64</v>
      </c>
      <c r="I10" s="13" t="s">
        <v>12</v>
      </c>
      <c r="J10" s="13" t="s">
        <v>89</v>
      </c>
      <c r="K10" s="13" t="s">
        <v>88</v>
      </c>
      <c r="L10" s="14" t="s">
        <v>103</v>
      </c>
      <c r="M10" s="13" t="s">
        <v>94</v>
      </c>
      <c r="N10" s="15" t="s">
        <v>14</v>
      </c>
      <c r="O10" s="13" t="s">
        <v>70</v>
      </c>
      <c r="P10" s="15" t="s">
        <v>13</v>
      </c>
      <c r="Q10" s="15" t="s">
        <v>75</v>
      </c>
      <c r="R10" s="16" t="s">
        <v>15</v>
      </c>
    </row>
    <row r="11" spans="1:18" ht="67.2" x14ac:dyDescent="0.5">
      <c r="A11" s="19">
        <v>1</v>
      </c>
      <c r="B11" s="19">
        <v>0</v>
      </c>
      <c r="C11" s="20" t="s">
        <v>16</v>
      </c>
      <c r="D11" s="19">
        <v>45</v>
      </c>
      <c r="E11" s="19" t="s">
        <v>17</v>
      </c>
      <c r="F11" s="20" t="s">
        <v>18</v>
      </c>
      <c r="G11" s="7"/>
      <c r="H11" s="7"/>
      <c r="I11" s="7" t="s">
        <v>19</v>
      </c>
      <c r="J11" s="19" t="s">
        <v>90</v>
      </c>
      <c r="K11" s="19" t="s">
        <v>72</v>
      </c>
      <c r="L11" s="20" t="s">
        <v>104</v>
      </c>
      <c r="M11" s="19" t="s">
        <v>95</v>
      </c>
      <c r="N11" s="19" t="s">
        <v>20</v>
      </c>
      <c r="O11" s="19">
        <f>22*10</f>
        <v>220</v>
      </c>
      <c r="P11" s="19">
        <f>220*2</f>
        <v>440</v>
      </c>
      <c r="Q11" s="19" t="s">
        <v>7</v>
      </c>
      <c r="R11" s="21" t="s">
        <v>71</v>
      </c>
    </row>
    <row r="12" spans="1:18" s="7" customFormat="1" ht="33.6" x14ac:dyDescent="0.3">
      <c r="A12" s="19">
        <v>2</v>
      </c>
      <c r="B12" s="19">
        <v>45</v>
      </c>
      <c r="C12" s="20" t="s">
        <v>21</v>
      </c>
      <c r="D12" s="22">
        <v>30</v>
      </c>
      <c r="E12" s="22" t="s">
        <v>17</v>
      </c>
      <c r="F12" s="20" t="s">
        <v>22</v>
      </c>
      <c r="G12" s="19"/>
      <c r="H12" s="19"/>
      <c r="I12" s="7" t="s">
        <v>23</v>
      </c>
      <c r="J12" s="19" t="s">
        <v>90</v>
      </c>
      <c r="K12" s="19" t="s">
        <v>73</v>
      </c>
      <c r="L12" s="20" t="s">
        <v>106</v>
      </c>
      <c r="M12" s="19" t="s">
        <v>96</v>
      </c>
      <c r="N12" s="19" t="s">
        <v>20</v>
      </c>
      <c r="O12" s="19">
        <v>440</v>
      </c>
      <c r="P12" s="19">
        <v>440</v>
      </c>
      <c r="Q12" s="19" t="s">
        <v>7</v>
      </c>
      <c r="R12" s="21"/>
    </row>
    <row r="13" spans="1:18" ht="33" customHeight="1" x14ac:dyDescent="0.5">
      <c r="A13" s="19">
        <v>3</v>
      </c>
      <c r="B13" s="19">
        <v>30</v>
      </c>
      <c r="C13" s="20" t="s">
        <v>24</v>
      </c>
      <c r="D13" s="22">
        <v>30</v>
      </c>
      <c r="E13" s="22" t="s">
        <v>17</v>
      </c>
      <c r="F13" s="20" t="s">
        <v>25</v>
      </c>
      <c r="G13" s="7"/>
      <c r="H13" s="7"/>
      <c r="I13" s="7" t="s">
        <v>23</v>
      </c>
      <c r="J13" s="19" t="s">
        <v>90</v>
      </c>
      <c r="K13" s="19" t="s">
        <v>73</v>
      </c>
      <c r="L13" s="20" t="s">
        <v>106</v>
      </c>
      <c r="M13" s="19" t="s">
        <v>96</v>
      </c>
      <c r="N13" s="19" t="s">
        <v>20</v>
      </c>
      <c r="O13" s="19">
        <v>440</v>
      </c>
      <c r="P13" s="19">
        <v>440</v>
      </c>
      <c r="Q13" s="19" t="s">
        <v>7</v>
      </c>
      <c r="R13" s="21"/>
    </row>
    <row r="14" spans="1:18" ht="35.4" customHeight="1" x14ac:dyDescent="0.5">
      <c r="A14" s="19">
        <v>4</v>
      </c>
      <c r="B14" s="19">
        <v>30</v>
      </c>
      <c r="C14" s="20" t="s">
        <v>26</v>
      </c>
      <c r="D14" s="22">
        <v>30</v>
      </c>
      <c r="E14" s="22" t="s">
        <v>27</v>
      </c>
      <c r="F14" s="20" t="s">
        <v>28</v>
      </c>
      <c r="G14" s="19"/>
      <c r="H14" s="19"/>
      <c r="I14" s="7" t="s">
        <v>23</v>
      </c>
      <c r="J14" s="19" t="s">
        <v>90</v>
      </c>
      <c r="K14" s="19" t="s">
        <v>73</v>
      </c>
      <c r="L14" s="20" t="s">
        <v>106</v>
      </c>
      <c r="M14" s="19" t="s">
        <v>97</v>
      </c>
      <c r="N14" s="19" t="s">
        <v>29</v>
      </c>
      <c r="O14" s="19">
        <v>440</v>
      </c>
      <c r="P14" s="19">
        <v>440</v>
      </c>
      <c r="Q14" s="19" t="s">
        <v>7</v>
      </c>
      <c r="R14" s="21"/>
    </row>
    <row r="15" spans="1:18" ht="33.6" x14ac:dyDescent="0.5">
      <c r="A15" s="19">
        <v>5</v>
      </c>
      <c r="B15" s="19">
        <v>30</v>
      </c>
      <c r="C15" s="20" t="s">
        <v>30</v>
      </c>
      <c r="D15" s="19">
        <v>21</v>
      </c>
      <c r="E15" s="22" t="s">
        <v>27</v>
      </c>
      <c r="F15" s="20" t="s">
        <v>31</v>
      </c>
      <c r="G15" s="19"/>
      <c r="H15" s="19"/>
      <c r="I15" s="7" t="s">
        <v>23</v>
      </c>
      <c r="J15" s="19" t="s">
        <v>90</v>
      </c>
      <c r="K15" s="19" t="s">
        <v>73</v>
      </c>
      <c r="L15" s="20" t="s">
        <v>106</v>
      </c>
      <c r="M15" s="19" t="s">
        <v>98</v>
      </c>
      <c r="N15" s="19" t="s">
        <v>29</v>
      </c>
      <c r="O15" s="19">
        <v>440</v>
      </c>
      <c r="P15" s="19">
        <v>880</v>
      </c>
      <c r="Q15" s="19" t="s">
        <v>77</v>
      </c>
      <c r="R15" s="21"/>
    </row>
    <row r="16" spans="1:18" ht="26.4" customHeight="1" x14ac:dyDescent="0.5">
      <c r="A16" s="19">
        <v>6</v>
      </c>
      <c r="B16" s="19">
        <v>21</v>
      </c>
      <c r="C16" s="20" t="s">
        <v>32</v>
      </c>
      <c r="D16" s="19">
        <v>21</v>
      </c>
      <c r="E16" s="22" t="s">
        <v>27</v>
      </c>
      <c r="F16" s="20" t="s">
        <v>31</v>
      </c>
      <c r="G16" s="19"/>
      <c r="H16" s="19"/>
      <c r="I16" s="7" t="s">
        <v>33</v>
      </c>
      <c r="J16" s="19" t="s">
        <v>90</v>
      </c>
      <c r="K16" s="19" t="s">
        <v>74</v>
      </c>
      <c r="L16" s="20" t="s">
        <v>107</v>
      </c>
      <c r="M16" s="19" t="s">
        <v>99</v>
      </c>
      <c r="N16" s="19" t="s">
        <v>29</v>
      </c>
      <c r="O16" s="19">
        <v>440</v>
      </c>
      <c r="P16" s="19">
        <f>+O16*4</f>
        <v>1760</v>
      </c>
      <c r="Q16" s="19" t="s">
        <v>77</v>
      </c>
      <c r="R16" s="21"/>
    </row>
    <row r="17" spans="1:20" ht="22.95" customHeight="1" x14ac:dyDescent="0.5">
      <c r="A17" s="19">
        <v>7</v>
      </c>
      <c r="B17" s="19">
        <v>21</v>
      </c>
      <c r="C17" s="20" t="s">
        <v>34</v>
      </c>
      <c r="D17" s="19">
        <v>21</v>
      </c>
      <c r="E17" s="22" t="s">
        <v>27</v>
      </c>
      <c r="F17" s="20" t="s">
        <v>31</v>
      </c>
      <c r="G17" s="19"/>
      <c r="H17" s="19"/>
      <c r="I17" s="7" t="s">
        <v>33</v>
      </c>
      <c r="J17" s="19" t="s">
        <v>90</v>
      </c>
      <c r="K17" s="19" t="s">
        <v>74</v>
      </c>
      <c r="L17" s="20" t="s">
        <v>107</v>
      </c>
      <c r="M17" s="19" t="s">
        <v>99</v>
      </c>
      <c r="N17" s="19" t="s">
        <v>29</v>
      </c>
      <c r="O17" s="19">
        <v>880</v>
      </c>
      <c r="P17" s="19">
        <f>+O17*4</f>
        <v>3520</v>
      </c>
      <c r="Q17" s="19" t="s">
        <v>77</v>
      </c>
      <c r="R17" s="21"/>
    </row>
    <row r="18" spans="1:20" ht="22.95" customHeight="1" x14ac:dyDescent="0.5">
      <c r="A18" s="19">
        <v>8</v>
      </c>
      <c r="B18" s="19">
        <v>21</v>
      </c>
      <c r="C18" s="20" t="s">
        <v>35</v>
      </c>
      <c r="D18" s="19">
        <v>21</v>
      </c>
      <c r="E18" s="22" t="s">
        <v>27</v>
      </c>
      <c r="F18" s="20" t="s">
        <v>31</v>
      </c>
      <c r="G18" s="19"/>
      <c r="H18" s="19"/>
      <c r="I18" s="7" t="s">
        <v>33</v>
      </c>
      <c r="J18" s="19" t="s">
        <v>90</v>
      </c>
      <c r="K18" s="19" t="s">
        <v>74</v>
      </c>
      <c r="L18" s="20" t="s">
        <v>107</v>
      </c>
      <c r="M18" s="19" t="s">
        <v>99</v>
      </c>
      <c r="N18" s="19" t="s">
        <v>29</v>
      </c>
      <c r="O18" s="19">
        <f>+O17*2</f>
        <v>1760</v>
      </c>
      <c r="P18" s="19">
        <f>+O18*4</f>
        <v>7040</v>
      </c>
      <c r="Q18" s="19" t="s">
        <v>77</v>
      </c>
      <c r="R18" s="21"/>
    </row>
    <row r="19" spans="1:20" ht="22.95" customHeight="1" x14ac:dyDescent="0.5">
      <c r="A19" s="19">
        <v>9</v>
      </c>
      <c r="B19" s="19">
        <v>21</v>
      </c>
      <c r="C19" s="20" t="s">
        <v>36</v>
      </c>
      <c r="D19" s="19">
        <v>21</v>
      </c>
      <c r="E19" s="22" t="s">
        <v>27</v>
      </c>
      <c r="F19" s="20" t="s">
        <v>31</v>
      </c>
      <c r="G19" s="19"/>
      <c r="H19" s="19"/>
      <c r="I19" s="7" t="s">
        <v>33</v>
      </c>
      <c r="J19" s="19" t="s">
        <v>90</v>
      </c>
      <c r="K19" s="19" t="s">
        <v>74</v>
      </c>
      <c r="L19" s="20" t="s">
        <v>107</v>
      </c>
      <c r="M19" s="19" t="s">
        <v>99</v>
      </c>
      <c r="N19" s="19" t="s">
        <v>29</v>
      </c>
      <c r="O19" s="19">
        <f>+O18*2</f>
        <v>3520</v>
      </c>
      <c r="P19" s="19">
        <f>+O19*4</f>
        <v>14080</v>
      </c>
      <c r="Q19" s="19" t="s">
        <v>77</v>
      </c>
      <c r="R19" s="21" t="s">
        <v>37</v>
      </c>
    </row>
    <row r="20" spans="1:20" ht="67.2" x14ac:dyDescent="0.5">
      <c r="A20" s="19"/>
      <c r="B20" s="19"/>
      <c r="C20" s="20"/>
      <c r="D20" s="19"/>
      <c r="E20" s="22"/>
      <c r="F20" s="20"/>
      <c r="G20" s="19"/>
      <c r="H20" s="19"/>
      <c r="I20" s="7"/>
      <c r="J20" s="7"/>
      <c r="K20" s="19"/>
      <c r="L20" s="20"/>
      <c r="M20" s="19"/>
      <c r="N20" s="19"/>
      <c r="O20" s="19"/>
      <c r="P20" s="19"/>
      <c r="Q20" s="19"/>
      <c r="R20" s="21" t="s">
        <v>79</v>
      </c>
    </row>
    <row r="21" spans="1:20" ht="33.6" x14ac:dyDescent="0.5">
      <c r="A21" s="19" t="s">
        <v>38</v>
      </c>
      <c r="B21" s="19">
        <v>21</v>
      </c>
      <c r="C21" s="20" t="s">
        <v>39</v>
      </c>
      <c r="D21" s="19"/>
      <c r="E21" s="22" t="s">
        <v>27</v>
      </c>
      <c r="F21" s="20" t="s">
        <v>40</v>
      </c>
      <c r="G21" s="19"/>
      <c r="H21" s="19"/>
      <c r="I21" s="7" t="s">
        <v>33</v>
      </c>
      <c r="J21" s="19" t="s">
        <v>90</v>
      </c>
      <c r="K21" s="19" t="s">
        <v>74</v>
      </c>
      <c r="L21" s="20" t="s">
        <v>107</v>
      </c>
      <c r="M21" s="19" t="s">
        <v>99</v>
      </c>
      <c r="N21" s="19" t="s">
        <v>29</v>
      </c>
      <c r="O21" s="19">
        <f>+O19/2</f>
        <v>1760</v>
      </c>
      <c r="P21" s="19">
        <f>+O21*4</f>
        <v>7040</v>
      </c>
      <c r="Q21" s="19" t="s">
        <v>77</v>
      </c>
      <c r="R21" s="21" t="s">
        <v>41</v>
      </c>
    </row>
    <row r="22" spans="1:20" ht="33.6" x14ac:dyDescent="0.5">
      <c r="A22" s="19" t="s">
        <v>42</v>
      </c>
      <c r="B22" s="19">
        <v>21</v>
      </c>
      <c r="C22" s="20" t="s">
        <v>43</v>
      </c>
      <c r="D22" s="19">
        <v>45</v>
      </c>
      <c r="E22" s="19" t="s">
        <v>44</v>
      </c>
      <c r="F22" s="20" t="s">
        <v>45</v>
      </c>
      <c r="G22" s="19"/>
      <c r="H22" s="19"/>
      <c r="I22" s="7" t="s">
        <v>33</v>
      </c>
      <c r="J22" s="19" t="s">
        <v>90</v>
      </c>
      <c r="K22" s="19" t="s">
        <v>74</v>
      </c>
      <c r="L22" s="20" t="s">
        <v>107</v>
      </c>
      <c r="M22" s="19" t="s">
        <v>100</v>
      </c>
      <c r="N22" s="19" t="s">
        <v>46</v>
      </c>
      <c r="O22" s="19">
        <f>+O19/2*2</f>
        <v>3520</v>
      </c>
      <c r="P22" s="19">
        <f>+O22*10</f>
        <v>35200</v>
      </c>
      <c r="Q22" s="19" t="s">
        <v>77</v>
      </c>
      <c r="R22" s="21" t="s">
        <v>78</v>
      </c>
      <c r="S22" s="23" t="s">
        <v>65</v>
      </c>
      <c r="T22" s="23">
        <v>4</v>
      </c>
    </row>
    <row r="23" spans="1:20" ht="16.2" customHeight="1" outlineLevel="1" x14ac:dyDescent="0.5">
      <c r="A23" s="19"/>
      <c r="B23" s="19"/>
      <c r="C23" s="20"/>
      <c r="D23" s="19"/>
      <c r="E23" s="19"/>
      <c r="F23" s="20"/>
      <c r="G23" s="19"/>
      <c r="H23" s="19"/>
      <c r="I23" s="7"/>
      <c r="J23" s="7"/>
      <c r="K23" s="19"/>
      <c r="L23" s="20"/>
      <c r="M23" s="19"/>
      <c r="N23" s="1"/>
      <c r="O23" s="19"/>
      <c r="R23" s="20"/>
      <c r="S23" s="23" t="s">
        <v>66</v>
      </c>
      <c r="T23" s="23">
        <v>15</v>
      </c>
    </row>
    <row r="24" spans="1:20" outlineLevel="1" x14ac:dyDescent="0.5">
      <c r="A24" s="19"/>
      <c r="B24" s="19"/>
      <c r="C24" s="20"/>
      <c r="D24" s="19"/>
      <c r="E24" s="19"/>
      <c r="F24" s="20"/>
      <c r="G24" s="19"/>
      <c r="H24" s="19"/>
      <c r="I24" s="7"/>
      <c r="J24" s="7"/>
      <c r="K24" s="19"/>
      <c r="L24" s="20"/>
      <c r="M24" s="19"/>
      <c r="N24" s="1"/>
      <c r="O24" s="19"/>
      <c r="R24" s="20"/>
      <c r="S24" s="23" t="s">
        <v>46</v>
      </c>
      <c r="T24" s="23">
        <v>3</v>
      </c>
    </row>
    <row r="25" spans="1:20" outlineLevel="1" x14ac:dyDescent="0.5">
      <c r="A25" s="19"/>
      <c r="B25" s="19"/>
      <c r="C25" s="20"/>
      <c r="D25" s="19"/>
      <c r="E25" s="19"/>
      <c r="F25" s="20"/>
      <c r="G25" s="19"/>
      <c r="H25" s="19"/>
      <c r="I25" s="7"/>
      <c r="J25" s="7"/>
      <c r="K25" s="19"/>
      <c r="L25" s="20"/>
      <c r="M25" s="19"/>
      <c r="N25" s="1"/>
      <c r="O25" s="19"/>
      <c r="R25" s="20"/>
      <c r="S25" s="24" t="s">
        <v>66</v>
      </c>
      <c r="T25" s="24">
        <f>+T23*T22</f>
        <v>60</v>
      </c>
    </row>
    <row r="26" spans="1:20" outlineLevel="1" x14ac:dyDescent="0.5">
      <c r="A26" s="19"/>
      <c r="B26" s="19"/>
      <c r="C26" s="20"/>
      <c r="D26" s="19"/>
      <c r="E26" s="19"/>
      <c r="F26" s="20"/>
      <c r="G26" s="7"/>
      <c r="H26" s="7"/>
      <c r="I26" s="7"/>
      <c r="J26" s="7"/>
      <c r="K26" s="19"/>
      <c r="L26" s="20"/>
      <c r="M26" s="19"/>
      <c r="N26" s="1"/>
      <c r="O26" s="19"/>
      <c r="R26" s="20"/>
      <c r="S26" s="24" t="s">
        <v>46</v>
      </c>
      <c r="T26" s="24">
        <f>+T25/3</f>
        <v>20</v>
      </c>
    </row>
    <row r="27" spans="1:20" outlineLevel="1" x14ac:dyDescent="0.5">
      <c r="A27" s="19"/>
      <c r="B27" s="19"/>
      <c r="C27" s="20"/>
      <c r="D27" s="19"/>
      <c r="E27" s="19"/>
      <c r="F27" s="20"/>
      <c r="G27" s="7"/>
      <c r="H27" s="7"/>
      <c r="I27" s="7"/>
      <c r="J27" s="7"/>
      <c r="K27" s="19"/>
      <c r="L27" s="20"/>
      <c r="M27" s="19"/>
      <c r="N27" s="1"/>
      <c r="O27" s="19"/>
      <c r="R27" s="20"/>
      <c r="S27" s="23"/>
      <c r="T27" s="23">
        <f>+T26/10</f>
        <v>2</v>
      </c>
    </row>
    <row r="28" spans="1:20" outlineLevel="1" x14ac:dyDescent="0.5">
      <c r="A28" s="19"/>
      <c r="B28" s="19"/>
      <c r="C28" s="20"/>
      <c r="D28" s="19"/>
      <c r="E28" s="19"/>
      <c r="F28" s="20"/>
      <c r="G28" s="7"/>
      <c r="H28" s="7"/>
      <c r="I28" s="7"/>
      <c r="J28" s="7"/>
      <c r="K28" s="19"/>
      <c r="L28" s="20"/>
      <c r="M28" s="19"/>
      <c r="N28" s="1"/>
      <c r="O28" s="19"/>
      <c r="R28" s="20"/>
    </row>
    <row r="29" spans="1:20" s="7" customFormat="1" ht="67.2" x14ac:dyDescent="0.3">
      <c r="A29" s="19">
        <v>11</v>
      </c>
      <c r="B29" s="19">
        <v>45</v>
      </c>
      <c r="C29" s="20" t="s">
        <v>48</v>
      </c>
      <c r="D29" s="22">
        <v>1</v>
      </c>
      <c r="E29" s="22"/>
      <c r="F29" s="20" t="s">
        <v>49</v>
      </c>
      <c r="I29" s="7" t="s">
        <v>33</v>
      </c>
      <c r="J29" s="19" t="s">
        <v>90</v>
      </c>
      <c r="K29" s="19"/>
      <c r="L29" s="20" t="s">
        <v>107</v>
      </c>
      <c r="M29" s="19" t="s">
        <v>100</v>
      </c>
      <c r="N29" s="19" t="s">
        <v>46</v>
      </c>
      <c r="O29" s="19">
        <f>+O22</f>
        <v>3520</v>
      </c>
      <c r="P29" s="19">
        <f>+O29*10</f>
        <v>35200</v>
      </c>
      <c r="Q29" s="19" t="s">
        <v>77</v>
      </c>
      <c r="R29" s="21" t="s">
        <v>47</v>
      </c>
    </row>
    <row r="30" spans="1:20" ht="33.6" x14ac:dyDescent="0.5">
      <c r="A30" s="19">
        <v>12</v>
      </c>
      <c r="B30" s="19">
        <v>1</v>
      </c>
      <c r="C30" s="20" t="s">
        <v>50</v>
      </c>
      <c r="D30" s="19">
        <v>1</v>
      </c>
      <c r="E30" s="19"/>
      <c r="F30" s="20" t="s">
        <v>51</v>
      </c>
      <c r="G30" s="7"/>
      <c r="H30" s="7"/>
      <c r="I30" s="7"/>
      <c r="J30" s="7"/>
      <c r="K30" s="19"/>
      <c r="L30" s="20"/>
      <c r="M30" s="19"/>
      <c r="N30" s="19"/>
      <c r="O30" s="19"/>
      <c r="P30" s="19"/>
      <c r="Q30" s="19" t="s">
        <v>77</v>
      </c>
      <c r="R30" s="21" t="s">
        <v>52</v>
      </c>
    </row>
    <row r="31" spans="1:20" x14ac:dyDescent="0.5">
      <c r="A31" s="19"/>
      <c r="B31" s="19"/>
      <c r="C31" s="20"/>
      <c r="D31" s="19"/>
      <c r="E31" s="19"/>
      <c r="F31" s="21" t="s">
        <v>53</v>
      </c>
      <c r="G31" s="7"/>
      <c r="H31" s="7"/>
      <c r="I31" s="7"/>
      <c r="J31" s="7"/>
      <c r="K31" s="19"/>
      <c r="L31" s="20"/>
      <c r="M31" s="19"/>
      <c r="N31" s="19"/>
      <c r="O31" s="19"/>
      <c r="P31" s="19"/>
      <c r="Q31" s="19"/>
      <c r="R31" s="21" t="s">
        <v>54</v>
      </c>
    </row>
    <row r="32" spans="1:20" x14ac:dyDescent="0.5">
      <c r="A32" s="19"/>
      <c r="B32" s="19"/>
      <c r="C32" s="20"/>
      <c r="D32" s="19"/>
      <c r="E32" s="19"/>
      <c r="F32" s="21" t="s">
        <v>55</v>
      </c>
      <c r="G32" s="7"/>
      <c r="H32" s="7"/>
      <c r="I32" s="7"/>
      <c r="J32" s="7"/>
      <c r="K32" s="19"/>
      <c r="L32" s="20"/>
      <c r="M32" s="19"/>
      <c r="N32" s="19"/>
      <c r="O32" s="19"/>
      <c r="P32" s="19"/>
      <c r="Q32" s="19"/>
      <c r="R32" s="21"/>
    </row>
    <row r="33" spans="1:18" ht="33.6" x14ac:dyDescent="0.5">
      <c r="A33" s="19"/>
      <c r="B33" s="19"/>
      <c r="C33" s="20"/>
      <c r="D33" s="19"/>
      <c r="E33" s="19"/>
      <c r="F33" s="21" t="s">
        <v>67</v>
      </c>
      <c r="G33" s="7"/>
      <c r="H33" s="7"/>
      <c r="I33" s="25"/>
      <c r="J33" s="25"/>
      <c r="K33" s="27"/>
      <c r="L33" s="26"/>
      <c r="M33" s="27"/>
      <c r="N33" s="19"/>
      <c r="O33" s="27"/>
      <c r="P33" s="19"/>
      <c r="Q33" s="19"/>
      <c r="R33" s="21"/>
    </row>
    <row r="34" spans="1:18" x14ac:dyDescent="0.5">
      <c r="A34" s="19"/>
      <c r="B34" s="19"/>
      <c r="C34" s="20"/>
      <c r="D34" s="19"/>
      <c r="E34" s="19"/>
      <c r="F34" s="21" t="s">
        <v>56</v>
      </c>
      <c r="G34" s="7"/>
      <c r="H34" s="7"/>
      <c r="I34" s="7"/>
      <c r="J34" s="7"/>
      <c r="K34" s="19"/>
      <c r="L34" s="20"/>
      <c r="M34" s="19"/>
      <c r="N34" s="19"/>
      <c r="O34" s="19"/>
      <c r="P34" s="19"/>
      <c r="Q34" s="19"/>
      <c r="R34" s="21"/>
    </row>
    <row r="35" spans="1:18" x14ac:dyDescent="0.5">
      <c r="A35" s="19"/>
      <c r="B35" s="19"/>
      <c r="C35" s="20"/>
      <c r="D35" s="19"/>
      <c r="E35" s="19"/>
      <c r="F35" s="20"/>
      <c r="G35" s="7"/>
      <c r="H35" s="7"/>
      <c r="I35" s="7"/>
      <c r="J35" s="7"/>
      <c r="K35" s="19"/>
      <c r="L35" s="20"/>
      <c r="M35" s="19"/>
      <c r="N35" s="19"/>
      <c r="O35" s="19"/>
      <c r="P35" s="19"/>
      <c r="Q35" s="19"/>
      <c r="R35" s="21"/>
    </row>
    <row r="36" spans="1:18" ht="33.6" x14ac:dyDescent="0.5">
      <c r="A36" s="19">
        <v>13</v>
      </c>
      <c r="B36" s="19">
        <v>1</v>
      </c>
      <c r="C36" s="20" t="s">
        <v>57</v>
      </c>
      <c r="D36" s="19">
        <v>45</v>
      </c>
      <c r="E36" s="22" t="s">
        <v>85</v>
      </c>
      <c r="F36" s="29" t="s">
        <v>82</v>
      </c>
      <c r="G36" s="7"/>
      <c r="H36" s="7"/>
      <c r="I36" s="7" t="s">
        <v>58</v>
      </c>
      <c r="J36" s="19" t="s">
        <v>102</v>
      </c>
      <c r="K36" s="19"/>
      <c r="L36" s="20"/>
      <c r="M36" s="19" t="s">
        <v>101</v>
      </c>
      <c r="N36" s="19" t="s">
        <v>46</v>
      </c>
      <c r="O36" s="19">
        <f>+P29/100</f>
        <v>352</v>
      </c>
      <c r="P36" s="19">
        <f>+O36*100</f>
        <v>35200</v>
      </c>
      <c r="Q36" s="19" t="s">
        <v>77</v>
      </c>
      <c r="R36" s="21" t="s">
        <v>81</v>
      </c>
    </row>
    <row r="37" spans="1:18" x14ac:dyDescent="0.5">
      <c r="A37" s="19">
        <v>14</v>
      </c>
      <c r="B37" s="19">
        <v>45</v>
      </c>
      <c r="C37" s="20" t="s">
        <v>59</v>
      </c>
      <c r="D37" s="19">
        <v>75</v>
      </c>
      <c r="E37" s="19" t="s">
        <v>84</v>
      </c>
      <c r="F37" s="20" t="s">
        <v>83</v>
      </c>
      <c r="G37" s="7"/>
      <c r="H37" s="7"/>
      <c r="I37" s="7" t="s">
        <v>60</v>
      </c>
      <c r="J37" s="19" t="s">
        <v>91</v>
      </c>
      <c r="K37" s="19" t="s">
        <v>92</v>
      </c>
      <c r="L37" s="20"/>
      <c r="M37" s="19" t="s">
        <v>105</v>
      </c>
      <c r="N37" s="19" t="s">
        <v>46</v>
      </c>
      <c r="O37" s="19"/>
      <c r="P37" s="19"/>
      <c r="Q37" s="19" t="s">
        <v>80</v>
      </c>
      <c r="R37" s="21"/>
    </row>
    <row r="38" spans="1:18" x14ac:dyDescent="0.5">
      <c r="A38" s="19">
        <v>15</v>
      </c>
      <c r="B38" s="19">
        <v>75</v>
      </c>
      <c r="C38" s="20" t="s">
        <v>61</v>
      </c>
      <c r="D38" s="19">
        <v>120</v>
      </c>
      <c r="E38" s="19" t="s">
        <v>87</v>
      </c>
      <c r="F38" s="20" t="s">
        <v>86</v>
      </c>
      <c r="G38" s="7"/>
      <c r="H38" s="7"/>
      <c r="I38" s="7" t="s">
        <v>62</v>
      </c>
      <c r="J38" s="19" t="s">
        <v>91</v>
      </c>
      <c r="K38" s="19" t="s">
        <v>93</v>
      </c>
      <c r="L38" s="20"/>
      <c r="M38" s="19" t="s">
        <v>105</v>
      </c>
      <c r="N38" s="19" t="s">
        <v>46</v>
      </c>
      <c r="O38" s="19"/>
      <c r="P38" s="19"/>
      <c r="Q38" s="19" t="s">
        <v>80</v>
      </c>
      <c r="R38" s="21"/>
    </row>
    <row r="39" spans="1:18" x14ac:dyDescent="0.5">
      <c r="A39" s="19">
        <v>16</v>
      </c>
      <c r="B39" s="19">
        <v>120</v>
      </c>
      <c r="C39" s="20" t="s">
        <v>108</v>
      </c>
      <c r="D39" s="19"/>
      <c r="E39" s="19"/>
      <c r="F39" s="20" t="s">
        <v>109</v>
      </c>
      <c r="G39" s="7"/>
      <c r="H39" s="7"/>
      <c r="I39" s="7"/>
      <c r="J39" s="7"/>
      <c r="K39" s="19"/>
      <c r="L39" s="20"/>
      <c r="M39" s="19"/>
      <c r="N39" s="19"/>
      <c r="O39" s="19"/>
      <c r="P39" s="19"/>
      <c r="Q39" s="19" t="s">
        <v>80</v>
      </c>
      <c r="R39" s="21"/>
    </row>
    <row r="40" spans="1:18" x14ac:dyDescent="0.5">
      <c r="C40" s="2"/>
      <c r="D40" s="1"/>
      <c r="M40" s="1"/>
      <c r="N40" s="1"/>
      <c r="R40" s="4"/>
    </row>
  </sheetData>
  <mergeCells count="8">
    <mergeCell ref="A8:R9"/>
    <mergeCell ref="A1:A6"/>
    <mergeCell ref="B1:D1"/>
    <mergeCell ref="B2:D2"/>
    <mergeCell ref="B3:D3"/>
    <mergeCell ref="B4:D4"/>
    <mergeCell ref="B5:D5"/>
    <mergeCell ref="B6:D6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ea74da-edbd-47fb-a169-9162a66e8e1d">
      <Terms xmlns="http://schemas.microsoft.com/office/infopath/2007/PartnerControls"/>
    </lcf76f155ced4ddcb4097134ff3c332f>
    <TaxCatchAll xmlns="736cea86-cf7f-41f6-8d0c-91f4fa4f5e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7188C0654B864599C660869CE6166D" ma:contentTypeVersion="9" ma:contentTypeDescription="Create a new document." ma:contentTypeScope="" ma:versionID="82dbc46d6f7243ad99ca05b5b76e96a9">
  <xsd:schema xmlns:xsd="http://www.w3.org/2001/XMLSchema" xmlns:xs="http://www.w3.org/2001/XMLSchema" xmlns:p="http://schemas.microsoft.com/office/2006/metadata/properties" xmlns:ns2="7fea74da-edbd-47fb-a169-9162a66e8e1d" xmlns:ns3="736cea86-cf7f-41f6-8d0c-91f4fa4f5ed9" targetNamespace="http://schemas.microsoft.com/office/2006/metadata/properties" ma:root="true" ma:fieldsID="1afc986762973f925ebbecad2b6cb508" ns2:_="" ns3:_="">
    <xsd:import namespace="7fea74da-edbd-47fb-a169-9162a66e8e1d"/>
    <xsd:import namespace="736cea86-cf7f-41f6-8d0c-91f4fa4f5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a74da-edbd-47fb-a169-9162a66e8e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75a37a9-5243-4c6f-8b88-701ebc899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cea86-cf7f-41f6-8d0c-91f4fa4f5e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596202-aacc-4557-8781-ab9e9808d881}" ma:internalName="TaxCatchAll" ma:showField="CatchAllData" ma:web="736cea86-cf7f-41f6-8d0c-91f4fa4f5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38F7AE-4BF2-4241-A86E-5875E97B4F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EFC50D-0E58-4BCB-B8D6-BF6106C194D0}">
  <ds:schemaRefs>
    <ds:schemaRef ds:uri="7eafca75-e325-4ec8-94cc-cc4bed112a6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7cdada90-0f7f-407a-9f23-c45a580de421"/>
    <ds:schemaRef ds:uri="http://schemas.microsoft.com/office/2006/metadata/properties"/>
    <ds:schemaRef ds:uri="http://purl.org/dc/dcmitype/"/>
    <ds:schemaRef ds:uri="7fea74da-edbd-47fb-a169-9162a66e8e1d"/>
    <ds:schemaRef ds:uri="736cea86-cf7f-41f6-8d0c-91f4fa4f5ed9"/>
  </ds:schemaRefs>
</ds:datastoreItem>
</file>

<file path=customXml/itemProps3.xml><?xml version="1.0" encoding="utf-8"?>
<ds:datastoreItem xmlns:ds="http://schemas.openxmlformats.org/officeDocument/2006/customXml" ds:itemID="{A37C8591-B569-4716-AB45-8138B64A38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ea74da-edbd-47fb-a169-9162a66e8e1d"/>
    <ds:schemaRef ds:uri="736cea86-cf7f-41f6-8d0c-91f4fa4f5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Process_ข้อตา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Chadapa Suwannik</cp:lastModifiedBy>
  <cp:revision/>
  <dcterms:created xsi:type="dcterms:W3CDTF">2026-09-09T03:35:23Z</dcterms:created>
  <dcterms:modified xsi:type="dcterms:W3CDTF">2026-09-10T07:38:11Z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0x010100187188C0654B864599C660869CE6166D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